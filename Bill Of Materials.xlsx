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Material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<sst xmlns="http://schemas.openxmlformats.org/spreadsheetml/2006/main" count="166" uniqueCount="124">
  <si>
    <t xml:space="preserve">IoT Smart Home Controller - Bill of Materials</t>
  </si>
  <si>
    <t xml:space="preserve">ENGI30000 Capstone Project | Sheridan College | December 2025</t>
  </si>
  <si>
    <t xml:space="preserve">Item #</t>
  </si>
  <si>
    <t xml:space="preserve">Category</t>
  </si>
  <si>
    <t xml:space="preserve">Component</t>
  </si>
  <si>
    <t xml:space="preserve">Description</t>
  </si>
  <si>
    <t xml:space="preserve">Qty</t>
  </si>
  <si>
    <t xml:space="preserve">Unit Price (CAD)</t>
  </si>
  <si>
    <t xml:space="preserve">Extended Price</t>
  </si>
  <si>
    <t xml:space="preserve">Supplier</t>
  </si>
  <si>
    <t xml:space="preserve">Part Number/Notes</t>
  </si>
  <si>
    <t xml:space="preserve">MICROCONTROLLER &amp; DEVELOPMENT</t>
  </si>
  <si>
    <t xml:space="preserve">MCU</t>
  </si>
  <si>
    <t xml:space="preserve">ESP32-WROOM-32 DevKit</t>
  </si>
  <si>
    <t xml:space="preserve">Dual-core 240MHz, WiFi/BT, 4MB Flash</t>
  </si>
  <si>
    <t xml:space="preserve">Amazon/AliExpress</t>
  </si>
  <si>
    <t xml:space="preserve">ESP32-DevKitC-32</t>
  </si>
  <si>
    <t xml:space="preserve">USB Cable (Micro-B)</t>
  </si>
  <si>
    <t xml:space="preserve">Data + Power cable for ESP32</t>
  </si>
  <si>
    <t xml:space="preserve">Amazon</t>
  </si>
  <si>
    <t xml:space="preserve">Generic</t>
  </si>
  <si>
    <t xml:space="preserve">SENSORS</t>
  </si>
  <si>
    <t xml:space="preserve">Sensor</t>
  </si>
  <si>
    <t xml:space="preserve">DHT22 (AM2302)</t>
  </si>
  <si>
    <t xml:space="preserve">Digital Temp/Humidity, ±0.5°C, ±2-5%RH</t>
  </si>
  <si>
    <t xml:space="preserve">AM2302</t>
  </si>
  <si>
    <t xml:space="preserve">10kΩ Resistor</t>
  </si>
  <si>
    <t xml:space="preserve">Pull-up resistor for DHT22 data line</t>
  </si>
  <si>
    <t xml:space="preserve">DigiKey/Mouser</t>
  </si>
  <si>
    <t xml:space="preserve">1/4W 5%</t>
  </si>
  <si>
    <t xml:space="preserve">RELAY &amp; SWITCHING</t>
  </si>
  <si>
    <t xml:space="preserve">Relay</t>
  </si>
  <si>
    <t xml:space="preserve">4-Channel Relay Module</t>
  </si>
  <si>
    <t xml:space="preserve">5V relay, 10A @ 250VAC per channel</t>
  </si>
  <si>
    <t xml:space="preserve">HL-54S V1.0</t>
  </si>
  <si>
    <t xml:space="preserve">Screw Terminal Block</t>
  </si>
  <si>
    <t xml:space="preserve">2-pin, 5.08mm pitch for relay wiring</t>
  </si>
  <si>
    <t xml:space="preserve">KF301-2P</t>
  </si>
  <si>
    <t xml:space="preserve">POWER SUPPLY</t>
  </si>
  <si>
    <t xml:space="preserve">Power</t>
  </si>
  <si>
    <t xml:space="preserve">5V 2A USB Adapter</t>
  </si>
  <si>
    <t xml:space="preserve">Power supply for ESP32 and relays</t>
  </si>
  <si>
    <t xml:space="preserve">UL Listed</t>
  </si>
  <si>
    <t xml:space="preserve">100µF Electrolytic Cap</t>
  </si>
  <si>
    <t xml:space="preserve">16V, bulk filtering capacitor</t>
  </si>
  <si>
    <t xml:space="preserve">Aluminum electrolytic</t>
  </si>
  <si>
    <t xml:space="preserve">10µF Ceramic Cap</t>
  </si>
  <si>
    <t xml:space="preserve">16V, high-freq noise filtering</t>
  </si>
  <si>
    <t xml:space="preserve">MLCC X7R</t>
  </si>
  <si>
    <t xml:space="preserve">0.1µF Ceramic Cap</t>
  </si>
  <si>
    <t xml:space="preserve">16V, decoupling capacitor</t>
  </si>
  <si>
    <t xml:space="preserve">LED INDICATORS</t>
  </si>
  <si>
    <t xml:space="preserve">LED</t>
  </si>
  <si>
    <t xml:space="preserve">Red LED 3mm</t>
  </si>
  <si>
    <t xml:space="preserve">Error/fault indicator</t>
  </si>
  <si>
    <t xml:space="preserve">Diffused</t>
  </si>
  <si>
    <t xml:space="preserve">Green LED 3mm</t>
  </si>
  <si>
    <t xml:space="preserve">Status/relay ON indicator</t>
  </si>
  <si>
    <t xml:space="preserve">Blue LED 3mm</t>
  </si>
  <si>
    <t xml:space="preserve">WiFi/connection status</t>
  </si>
  <si>
    <t xml:space="preserve">330Ω Resistor</t>
  </si>
  <si>
    <t xml:space="preserve">Current limiting for LEDs (3.3V)</t>
  </si>
  <si>
    <t xml:space="preserve">PCB &amp; CONNECTORS</t>
  </si>
  <si>
    <t xml:space="preserve">PCB</t>
  </si>
  <si>
    <t xml:space="preserve">Custom PCB</t>
  </si>
  <si>
    <t xml:space="preserve">Multi-layer, fabricated from Eagle design</t>
  </si>
  <si>
    <t xml:space="preserve">JLCPCB/PCBWay</t>
  </si>
  <si>
    <t xml:space="preserve">IOT.fbrd</t>
  </si>
  <si>
    <t xml:space="preserve">Connector</t>
  </si>
  <si>
    <t xml:space="preserve">Female Header 19-pin</t>
  </si>
  <si>
    <t xml:space="preserve">For ESP32 DevKit mounting (2 required)</t>
  </si>
  <si>
    <t xml:space="preserve">2.54mm pitch</t>
  </si>
  <si>
    <t xml:space="preserve">Male Header Strip</t>
  </si>
  <si>
    <t xml:space="preserve">40-pin breakaway for GPIO</t>
  </si>
  <si>
    <t xml:space="preserve">3-Pin Header</t>
  </si>
  <si>
    <t xml:space="preserve">For DHT22 sensor connection</t>
  </si>
  <si>
    <t xml:space="preserve">JST-XH 4-Pin</t>
  </si>
  <si>
    <t xml:space="preserve">For relay module connection</t>
  </si>
  <si>
    <t xml:space="preserve">2.5mm pitch</t>
  </si>
  <si>
    <t xml:space="preserve">ENCLOSURE &amp; MISCELLANEOUS</t>
  </si>
  <si>
    <t xml:space="preserve">Enclosure</t>
  </si>
  <si>
    <t xml:space="preserve">Project Box</t>
  </si>
  <si>
    <t xml:space="preserve">ABS plastic enclosure, 100x68x50mm</t>
  </si>
  <si>
    <t xml:space="preserve">IP65 Optional</t>
  </si>
  <si>
    <t xml:space="preserve">Misc</t>
  </si>
  <si>
    <t xml:space="preserve">Standoff Kit</t>
  </si>
  <si>
    <t xml:space="preserve">M3 nylon standoffs for PCB mounting</t>
  </si>
  <si>
    <t xml:space="preserve">M3 Assorted</t>
  </si>
  <si>
    <t xml:space="preserve">Heat Shrink Tubing</t>
  </si>
  <si>
    <t xml:space="preserve">Assorted sizes for wire protection</t>
  </si>
  <si>
    <t xml:space="preserve">2:1 ratio</t>
  </si>
  <si>
    <t xml:space="preserve">Hook-up Wire</t>
  </si>
  <si>
    <t xml:space="preserve">22 AWG stranded, assorted colors</t>
  </si>
  <si>
    <t xml:space="preserve">6 colors, 10m each</t>
  </si>
  <si>
    <t xml:space="preserve">Solder Wire</t>
  </si>
  <si>
    <t xml:space="preserve">60/40 Rosin core, 0.8mm</t>
  </si>
  <si>
    <t xml:space="preserve">Lead-free optional</t>
  </si>
  <si>
    <t xml:space="preserve">SUBTOTAL (Components)</t>
  </si>
  <si>
    <t xml:space="preserve">Estimated Shipping</t>
  </si>
  <si>
    <t xml:space="preserve">Estimated Tax (13% HST)</t>
  </si>
  <si>
    <t xml:space="preserve">GRAND TOTAL</t>
  </si>
  <si>
    <t xml:space="preserve">NOTES &amp; ASSUMPTIONS</t>
  </si>
  <si>
    <t xml:space="preserve">1. Prices are estimates based on typical online retailers (Amazon, AliExpress, DigiKey, Mouser) as of December 2025.</t>
  </si>
  <si>
    <t xml:space="preserve">2. Prices may vary based on supplier, quantity, and shipping location.</t>
  </si>
  <si>
    <t xml:space="preserve">3. PCB fabrication cost assumes minimum order quantity (typically 5-10 boards) from budget PCB services.</t>
  </si>
  <si>
    <t xml:space="preserve">4. Some components (resistors, capacitors) are priced per unit; consider buying assortment kits for better value.</t>
  </si>
  <si>
    <t xml:space="preserve">5. Total cost can be reduced by sourcing from AliExpress (longer shipping) vs Amazon (faster, slightly higher prices).</t>
  </si>
  <si>
    <t xml:space="preserve">6. Recommended to order 10-20% extra passive components (resistors, capacitors) for spares.</t>
  </si>
  <si>
    <t xml:space="preserve">7. Android device for app control is assumed to be already available (not included in BOM).</t>
  </si>
  <si>
    <t xml:space="preserve">BOM SUMMARY</t>
  </si>
  <si>
    <t xml:space="preserve">Item Count</t>
  </si>
  <si>
    <t xml:space="preserve">Cost (CAD)</t>
  </si>
  <si>
    <t xml:space="preserve">Microcontroller &amp; Dev</t>
  </si>
  <si>
    <t xml:space="preserve">Sensors</t>
  </si>
  <si>
    <t xml:space="preserve">Relay &amp; Switching</t>
  </si>
  <si>
    <t xml:space="preserve">Power Supply</t>
  </si>
  <si>
    <t xml:space="preserve">LED Indicators</t>
  </si>
  <si>
    <t xml:space="preserve">PCB &amp; Connectors</t>
  </si>
  <si>
    <t xml:space="preserve">Enclosure &amp; Misc</t>
  </si>
  <si>
    <t xml:space="preserve">TOTAL</t>
  </si>
  <si>
    <t xml:space="preserve">Project: IoT Smart Home Controller</t>
  </si>
  <si>
    <t xml:space="preserve">Course: ENGI30000 Capstone</t>
  </si>
  <si>
    <t xml:space="preserve">Team: Aryan Prajapati, Manav Parikh, Dev Patel</t>
  </si>
  <si>
    <t xml:space="preserve">Date: December 2025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</si>
</sst>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5276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A5276"/>
      <name val="Cambria"/>
      <family val="0"/>
      <charset val="1"/>
    </font>
    <font>
      <sz val="9"/>
      <color rgb="FF555555"/>
      <name val="Cambria"/>
      <family val="0"/>
      <charset val="1"/>
    </font>
    <font>
      <b val="true"/>
      <sz val="14"/>
      <color rgb="FF1A5276"/>
      <name val="Cambria"/>
      <family val="0"/>
      <charset val="1"/>
    </font>
    <font>
      <sz val="10"/>
      <color rgb="FF666666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D5DBDB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5" min="5" style="0" width="6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2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9.75" hidden="false" customHeight="true" outlineLevel="0" collapsed="false"/>
    <row r="4" customFormat="false" ht="24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5" t="n">
        <v>1</v>
      </c>
      <c r="B6" s="6" t="s">
        <v>12</v>
      </c>
      <c r="C6" s="6" t="s">
        <v>13</v>
      </c>
      <c r="D6" s="6" t="s">
        <v>14</v>
      </c>
      <c r="E6" s="5" t="n">
        <v>1</v>
      </c>
      <c r="F6" s="7" t="n">
        <v>12.99</v>
      </c>
      <c r="G6" s="8" t="n">
        <f aca="false">E6*F6</f>
        <v>12.99</v>
      </c>
      <c r="H6" s="6" t="s">
        <v>15</v>
      </c>
      <c r="I6" s="6" t="s">
        <v>16</v>
      </c>
    </row>
    <row r="7" customFormat="false" ht="15" hidden="false" customHeight="false" outlineLevel="0" collapsed="false">
      <c r="A7" s="5" t="n">
        <v>2</v>
      </c>
      <c r="B7" s="6" t="s">
        <v>12</v>
      </c>
      <c r="C7" s="6" t="s">
        <v>17</v>
      </c>
      <c r="D7" s="6" t="s">
        <v>18</v>
      </c>
      <c r="E7" s="5" t="n">
        <v>1</v>
      </c>
      <c r="F7" s="7" t="n">
        <v>3.99</v>
      </c>
      <c r="G7" s="8" t="n">
        <f aca="false">E7*F7</f>
        <v>3.99</v>
      </c>
      <c r="H7" s="6" t="s">
        <v>19</v>
      </c>
      <c r="I7" s="6" t="s">
        <v>20</v>
      </c>
    </row>
    <row r="8" customFormat="false" ht="15" hidden="false" customHeight="false" outlineLevel="0" collapsed="false">
      <c r="A8" s="4" t="s">
        <v>21</v>
      </c>
      <c r="B8" s="4"/>
      <c r="C8" s="4"/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A9" s="5" t="n">
        <v>3</v>
      </c>
      <c r="B9" s="6" t="s">
        <v>22</v>
      </c>
      <c r="C9" s="6" t="s">
        <v>23</v>
      </c>
      <c r="D9" s="6" t="s">
        <v>24</v>
      </c>
      <c r="E9" s="5" t="n">
        <v>1</v>
      </c>
      <c r="F9" s="7" t="n">
        <v>8.99</v>
      </c>
      <c r="G9" s="8" t="n">
        <f aca="false">E9*F9</f>
        <v>8.99</v>
      </c>
      <c r="H9" s="6" t="s">
        <v>15</v>
      </c>
      <c r="I9" s="6" t="s">
        <v>25</v>
      </c>
    </row>
    <row r="10" customFormat="false" ht="15" hidden="false" customHeight="false" outlineLevel="0" collapsed="false">
      <c r="A10" s="5" t="n">
        <v>4</v>
      </c>
      <c r="B10" s="6" t="s">
        <v>22</v>
      </c>
      <c r="C10" s="6" t="s">
        <v>26</v>
      </c>
      <c r="D10" s="6" t="s">
        <v>27</v>
      </c>
      <c r="E10" s="5" t="n">
        <v>2</v>
      </c>
      <c r="F10" s="7" t="n">
        <v>0.1</v>
      </c>
      <c r="G10" s="8" t="n">
        <f aca="false">E10*F10</f>
        <v>0.2</v>
      </c>
      <c r="H10" s="6" t="s">
        <v>28</v>
      </c>
      <c r="I10" s="6" t="s">
        <v>29</v>
      </c>
    </row>
    <row r="11" customFormat="false" ht="15" hidden="false" customHeight="false" outlineLevel="0" collapsed="false">
      <c r="A11" s="4" t="s">
        <v>30</v>
      </c>
      <c r="B11" s="4"/>
      <c r="C11" s="4"/>
      <c r="D11" s="4"/>
      <c r="E11" s="4"/>
      <c r="F11" s="4"/>
      <c r="G11" s="4"/>
      <c r="H11" s="4"/>
      <c r="I11" s="4"/>
    </row>
    <row r="12" customFormat="false" ht="15" hidden="false" customHeight="false" outlineLevel="0" collapsed="false">
      <c r="A12" s="5" t="n">
        <v>5</v>
      </c>
      <c r="B12" s="6" t="s">
        <v>31</v>
      </c>
      <c r="C12" s="6" t="s">
        <v>32</v>
      </c>
      <c r="D12" s="6" t="s">
        <v>33</v>
      </c>
      <c r="E12" s="5" t="n">
        <v>1</v>
      </c>
      <c r="F12" s="7" t="n">
        <v>7.99</v>
      </c>
      <c r="G12" s="8" t="n">
        <f aca="false">E12*F12</f>
        <v>7.99</v>
      </c>
      <c r="H12" s="6" t="s">
        <v>15</v>
      </c>
      <c r="I12" s="6" t="s">
        <v>34</v>
      </c>
    </row>
    <row r="13" customFormat="false" ht="15" hidden="false" customHeight="false" outlineLevel="0" collapsed="false">
      <c r="A13" s="5" t="n">
        <v>6</v>
      </c>
      <c r="B13" s="6" t="s">
        <v>31</v>
      </c>
      <c r="C13" s="6" t="s">
        <v>35</v>
      </c>
      <c r="D13" s="6" t="s">
        <v>36</v>
      </c>
      <c r="E13" s="5" t="n">
        <v>8</v>
      </c>
      <c r="F13" s="7" t="n">
        <v>0.35</v>
      </c>
      <c r="G13" s="8" t="n">
        <f aca="false">E13*F13</f>
        <v>2.8</v>
      </c>
      <c r="H13" s="6" t="s">
        <v>28</v>
      </c>
      <c r="I13" s="6" t="s">
        <v>37</v>
      </c>
    </row>
    <row r="14" customFormat="false" ht="15" hidden="false" customHeight="false" outlineLevel="0" collapsed="false">
      <c r="A14" s="4" t="s">
        <v>38</v>
      </c>
      <c r="B14" s="4"/>
      <c r="C14" s="4"/>
      <c r="D14" s="4"/>
      <c r="E14" s="4"/>
      <c r="F14" s="4"/>
      <c r="G14" s="4"/>
      <c r="H14" s="4"/>
      <c r="I14" s="4"/>
    </row>
    <row r="15" customFormat="false" ht="15" hidden="false" customHeight="false" outlineLevel="0" collapsed="false">
      <c r="A15" s="5" t="n">
        <v>7</v>
      </c>
      <c r="B15" s="6" t="s">
        <v>39</v>
      </c>
      <c r="C15" s="6" t="s">
        <v>40</v>
      </c>
      <c r="D15" s="6" t="s">
        <v>41</v>
      </c>
      <c r="E15" s="5" t="n">
        <v>1</v>
      </c>
      <c r="F15" s="7" t="n">
        <v>8.99</v>
      </c>
      <c r="G15" s="8" t="n">
        <f aca="false">E15*F15</f>
        <v>8.99</v>
      </c>
      <c r="H15" s="6" t="s">
        <v>19</v>
      </c>
      <c r="I15" s="6" t="s">
        <v>42</v>
      </c>
    </row>
    <row r="16" customFormat="false" ht="15" hidden="false" customHeight="false" outlineLevel="0" collapsed="false">
      <c r="A16" s="5" t="n">
        <v>8</v>
      </c>
      <c r="B16" s="6" t="s">
        <v>39</v>
      </c>
      <c r="C16" s="6" t="s">
        <v>43</v>
      </c>
      <c r="D16" s="6" t="s">
        <v>44</v>
      </c>
      <c r="E16" s="5" t="n">
        <v>2</v>
      </c>
      <c r="F16" s="7" t="n">
        <v>0.25</v>
      </c>
      <c r="G16" s="8" t="n">
        <f aca="false">E16*F16</f>
        <v>0.5</v>
      </c>
      <c r="H16" s="6" t="s">
        <v>28</v>
      </c>
      <c r="I16" s="6" t="s">
        <v>45</v>
      </c>
    </row>
    <row r="17" customFormat="false" ht="15" hidden="false" customHeight="false" outlineLevel="0" collapsed="false">
      <c r="A17" s="5" t="n">
        <v>9</v>
      </c>
      <c r="B17" s="6" t="s">
        <v>39</v>
      </c>
      <c r="C17" s="6" t="s">
        <v>46</v>
      </c>
      <c r="D17" s="6" t="s">
        <v>47</v>
      </c>
      <c r="E17" s="5" t="n">
        <v>3</v>
      </c>
      <c r="F17" s="7" t="n">
        <v>0.15</v>
      </c>
      <c r="G17" s="8" t="n">
        <f aca="false">E17*F17</f>
        <v>0.45</v>
      </c>
      <c r="H17" s="6" t="s">
        <v>28</v>
      </c>
      <c r="I17" s="6" t="s">
        <v>48</v>
      </c>
    </row>
    <row r="18" customFormat="false" ht="15" hidden="false" customHeight="false" outlineLevel="0" collapsed="false">
      <c r="A18" s="5" t="n">
        <v>10</v>
      </c>
      <c r="B18" s="6" t="s">
        <v>39</v>
      </c>
      <c r="C18" s="6" t="s">
        <v>49</v>
      </c>
      <c r="D18" s="6" t="s">
        <v>50</v>
      </c>
      <c r="E18" s="5" t="n">
        <v>4</v>
      </c>
      <c r="F18" s="7" t="n">
        <v>0.1</v>
      </c>
      <c r="G18" s="8" t="n">
        <f aca="false">E18*F18</f>
        <v>0.4</v>
      </c>
      <c r="H18" s="6" t="s">
        <v>28</v>
      </c>
      <c r="I18" s="6" t="s">
        <v>48</v>
      </c>
    </row>
    <row r="19" customFormat="false" ht="15" hidden="false" customHeight="false" outlineLevel="0" collapsed="false">
      <c r="A19" s="4" t="s">
        <v>51</v>
      </c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A20" s="5" t="n">
        <v>11</v>
      </c>
      <c r="B20" s="6" t="s">
        <v>52</v>
      </c>
      <c r="C20" s="6" t="s">
        <v>53</v>
      </c>
      <c r="D20" s="6" t="s">
        <v>54</v>
      </c>
      <c r="E20" s="5" t="n">
        <v>2</v>
      </c>
      <c r="F20" s="7" t="n">
        <v>0.15</v>
      </c>
      <c r="G20" s="8" t="n">
        <f aca="false">E20*F20</f>
        <v>0.3</v>
      </c>
      <c r="H20" s="6" t="s">
        <v>28</v>
      </c>
      <c r="I20" s="6" t="s">
        <v>55</v>
      </c>
    </row>
    <row r="21" customFormat="false" ht="15" hidden="false" customHeight="false" outlineLevel="0" collapsed="false">
      <c r="A21" s="5" t="n">
        <v>12</v>
      </c>
      <c r="B21" s="6" t="s">
        <v>52</v>
      </c>
      <c r="C21" s="6" t="s">
        <v>56</v>
      </c>
      <c r="D21" s="6" t="s">
        <v>57</v>
      </c>
      <c r="E21" s="5" t="n">
        <v>4</v>
      </c>
      <c r="F21" s="7" t="n">
        <v>0.15</v>
      </c>
      <c r="G21" s="8" t="n">
        <f aca="false">E21*F21</f>
        <v>0.6</v>
      </c>
      <c r="H21" s="6" t="s">
        <v>28</v>
      </c>
      <c r="I21" s="6" t="s">
        <v>55</v>
      </c>
    </row>
    <row r="22" customFormat="false" ht="15" hidden="false" customHeight="false" outlineLevel="0" collapsed="false">
      <c r="A22" s="5" t="n">
        <v>13</v>
      </c>
      <c r="B22" s="6" t="s">
        <v>52</v>
      </c>
      <c r="C22" s="6" t="s">
        <v>58</v>
      </c>
      <c r="D22" s="6" t="s">
        <v>59</v>
      </c>
      <c r="E22" s="5" t="n">
        <v>2</v>
      </c>
      <c r="F22" s="7" t="n">
        <v>0.2</v>
      </c>
      <c r="G22" s="8" t="n">
        <f aca="false">E22*F22</f>
        <v>0.4</v>
      </c>
      <c r="H22" s="6" t="s">
        <v>28</v>
      </c>
      <c r="I22" s="6" t="s">
        <v>55</v>
      </c>
    </row>
    <row r="23" customFormat="false" ht="15" hidden="false" customHeight="false" outlineLevel="0" collapsed="false">
      <c r="A23" s="5" t="n">
        <v>14</v>
      </c>
      <c r="B23" s="6" t="s">
        <v>52</v>
      </c>
      <c r="C23" s="6" t="s">
        <v>60</v>
      </c>
      <c r="D23" s="6" t="s">
        <v>61</v>
      </c>
      <c r="E23" s="5" t="n">
        <v>8</v>
      </c>
      <c r="F23" s="7" t="n">
        <v>0.05</v>
      </c>
      <c r="G23" s="8" t="n">
        <f aca="false">E23*F23</f>
        <v>0.4</v>
      </c>
      <c r="H23" s="6" t="s">
        <v>28</v>
      </c>
      <c r="I23" s="6" t="s">
        <v>29</v>
      </c>
    </row>
    <row r="24" customFormat="false" ht="15" hidden="false" customHeight="false" outlineLevel="0" collapsed="false">
      <c r="A24" s="4" t="s">
        <v>62</v>
      </c>
      <c r="B24" s="4"/>
      <c r="C24" s="4"/>
      <c r="D24" s="4"/>
      <c r="E24" s="4"/>
      <c r="F24" s="4"/>
      <c r="G24" s="4"/>
      <c r="H24" s="4"/>
      <c r="I24" s="4"/>
    </row>
    <row r="25" customFormat="false" ht="15" hidden="false" customHeight="false" outlineLevel="0" collapsed="false">
      <c r="A25" s="5" t="n">
        <v>15</v>
      </c>
      <c r="B25" s="6" t="s">
        <v>63</v>
      </c>
      <c r="C25" s="6" t="s">
        <v>64</v>
      </c>
      <c r="D25" s="6" t="s">
        <v>65</v>
      </c>
      <c r="E25" s="5" t="n">
        <v>1</v>
      </c>
      <c r="F25" s="7" t="n">
        <v>15</v>
      </c>
      <c r="G25" s="8" t="n">
        <f aca="false">E25*F25</f>
        <v>15</v>
      </c>
      <c r="H25" s="6" t="s">
        <v>66</v>
      </c>
      <c r="I25" s="6" t="s">
        <v>67</v>
      </c>
    </row>
    <row r="26" customFormat="false" ht="15" hidden="false" customHeight="false" outlineLevel="0" collapsed="false">
      <c r="A26" s="5" t="n">
        <v>16</v>
      </c>
      <c r="B26" s="6" t="s">
        <v>68</v>
      </c>
      <c r="C26" s="6" t="s">
        <v>69</v>
      </c>
      <c r="D26" s="6" t="s">
        <v>70</v>
      </c>
      <c r="E26" s="5" t="n">
        <v>2</v>
      </c>
      <c r="F26" s="7" t="n">
        <v>1.25</v>
      </c>
      <c r="G26" s="8" t="n">
        <f aca="false">E26*F26</f>
        <v>2.5</v>
      </c>
      <c r="H26" s="6" t="s">
        <v>28</v>
      </c>
      <c r="I26" s="6" t="s">
        <v>71</v>
      </c>
    </row>
    <row r="27" customFormat="false" ht="15" hidden="false" customHeight="false" outlineLevel="0" collapsed="false">
      <c r="A27" s="5" t="n">
        <v>17</v>
      </c>
      <c r="B27" s="6" t="s">
        <v>68</v>
      </c>
      <c r="C27" s="6" t="s">
        <v>72</v>
      </c>
      <c r="D27" s="6" t="s">
        <v>73</v>
      </c>
      <c r="E27" s="5" t="n">
        <v>1</v>
      </c>
      <c r="F27" s="7" t="n">
        <v>0.99</v>
      </c>
      <c r="G27" s="8" t="n">
        <f aca="false">E27*F27</f>
        <v>0.99</v>
      </c>
      <c r="H27" s="6" t="s">
        <v>15</v>
      </c>
      <c r="I27" s="6" t="s">
        <v>71</v>
      </c>
    </row>
    <row r="28" customFormat="false" ht="15" hidden="false" customHeight="false" outlineLevel="0" collapsed="false">
      <c r="A28" s="5" t="n">
        <v>18</v>
      </c>
      <c r="B28" s="6" t="s">
        <v>68</v>
      </c>
      <c r="C28" s="6" t="s">
        <v>74</v>
      </c>
      <c r="D28" s="6" t="s">
        <v>75</v>
      </c>
      <c r="E28" s="5" t="n">
        <v>1</v>
      </c>
      <c r="F28" s="7" t="n">
        <v>0.25</v>
      </c>
      <c r="G28" s="8" t="n">
        <f aca="false">E28*F28</f>
        <v>0.25</v>
      </c>
      <c r="H28" s="6" t="s">
        <v>28</v>
      </c>
      <c r="I28" s="6" t="s">
        <v>71</v>
      </c>
    </row>
    <row r="29" customFormat="false" ht="15" hidden="false" customHeight="false" outlineLevel="0" collapsed="false">
      <c r="A29" s="5" t="n">
        <v>19</v>
      </c>
      <c r="B29" s="6" t="s">
        <v>68</v>
      </c>
      <c r="C29" s="6" t="s">
        <v>76</v>
      </c>
      <c r="D29" s="6" t="s">
        <v>77</v>
      </c>
      <c r="E29" s="5" t="n">
        <v>1</v>
      </c>
      <c r="F29" s="7" t="n">
        <v>0.5</v>
      </c>
      <c r="G29" s="8" t="n">
        <f aca="false">E29*F29</f>
        <v>0.5</v>
      </c>
      <c r="H29" s="6" t="s">
        <v>28</v>
      </c>
      <c r="I29" s="6" t="s">
        <v>78</v>
      </c>
    </row>
    <row r="30" customFormat="false" ht="15" hidden="false" customHeight="false" outlineLevel="0" collapsed="false">
      <c r="A30" s="4" t="s">
        <v>79</v>
      </c>
      <c r="B30" s="4"/>
      <c r="C30" s="4"/>
      <c r="D30" s="4"/>
      <c r="E30" s="4"/>
      <c r="F30" s="4"/>
      <c r="G30" s="4"/>
      <c r="H30" s="4"/>
      <c r="I30" s="4"/>
    </row>
    <row r="31" customFormat="false" ht="15" hidden="false" customHeight="false" outlineLevel="0" collapsed="false">
      <c r="A31" s="5" t="n">
        <v>20</v>
      </c>
      <c r="B31" s="6" t="s">
        <v>80</v>
      </c>
      <c r="C31" s="6" t="s">
        <v>81</v>
      </c>
      <c r="D31" s="6" t="s">
        <v>82</v>
      </c>
      <c r="E31" s="5" t="n">
        <v>1</v>
      </c>
      <c r="F31" s="7" t="n">
        <v>5.99</v>
      </c>
      <c r="G31" s="8" t="n">
        <f aca="false">E31*F31</f>
        <v>5.99</v>
      </c>
      <c r="H31" s="6" t="s">
        <v>19</v>
      </c>
      <c r="I31" s="6" t="s">
        <v>83</v>
      </c>
    </row>
    <row r="32" customFormat="false" ht="15" hidden="false" customHeight="false" outlineLevel="0" collapsed="false">
      <c r="A32" s="5" t="n">
        <v>21</v>
      </c>
      <c r="B32" s="6" t="s">
        <v>84</v>
      </c>
      <c r="C32" s="6" t="s">
        <v>85</v>
      </c>
      <c r="D32" s="6" t="s">
        <v>86</v>
      </c>
      <c r="E32" s="5" t="n">
        <v>1</v>
      </c>
      <c r="F32" s="7" t="n">
        <v>4.99</v>
      </c>
      <c r="G32" s="8" t="n">
        <f aca="false">E32*F32</f>
        <v>4.99</v>
      </c>
      <c r="H32" s="6" t="s">
        <v>19</v>
      </c>
      <c r="I32" s="6" t="s">
        <v>87</v>
      </c>
    </row>
    <row r="33" customFormat="false" ht="15" hidden="false" customHeight="false" outlineLevel="0" collapsed="false">
      <c r="A33" s="5" t="n">
        <v>22</v>
      </c>
      <c r="B33" s="6" t="s">
        <v>84</v>
      </c>
      <c r="C33" s="6" t="s">
        <v>88</v>
      </c>
      <c r="D33" s="6" t="s">
        <v>89</v>
      </c>
      <c r="E33" s="5" t="n">
        <v>1</v>
      </c>
      <c r="F33" s="7" t="n">
        <v>3.99</v>
      </c>
      <c r="G33" s="8" t="n">
        <f aca="false">E33*F33</f>
        <v>3.99</v>
      </c>
      <c r="H33" s="6" t="s">
        <v>19</v>
      </c>
      <c r="I33" s="6" t="s">
        <v>90</v>
      </c>
    </row>
    <row r="34" customFormat="false" ht="15" hidden="false" customHeight="false" outlineLevel="0" collapsed="false">
      <c r="A34" s="5" t="n">
        <v>23</v>
      </c>
      <c r="B34" s="6" t="s">
        <v>84</v>
      </c>
      <c r="C34" s="6" t="s">
        <v>91</v>
      </c>
      <c r="D34" s="6" t="s">
        <v>92</v>
      </c>
      <c r="E34" s="5" t="n">
        <v>1</v>
      </c>
      <c r="F34" s="7" t="n">
        <v>6.99</v>
      </c>
      <c r="G34" s="8" t="n">
        <f aca="false">E34*F34</f>
        <v>6.99</v>
      </c>
      <c r="H34" s="6" t="s">
        <v>19</v>
      </c>
      <c r="I34" s="6" t="s">
        <v>93</v>
      </c>
    </row>
    <row r="35" customFormat="false" ht="15" hidden="false" customHeight="false" outlineLevel="0" collapsed="false">
      <c r="A35" s="5" t="n">
        <v>24</v>
      </c>
      <c r="B35" s="6" t="s">
        <v>84</v>
      </c>
      <c r="C35" s="6" t="s">
        <v>94</v>
      </c>
      <c r="D35" s="6" t="s">
        <v>95</v>
      </c>
      <c r="E35" s="5" t="n">
        <v>1</v>
      </c>
      <c r="F35" s="7" t="n">
        <v>7.99</v>
      </c>
      <c r="G35" s="8" t="n">
        <f aca="false">E35*F35</f>
        <v>7.99</v>
      </c>
      <c r="H35" s="6" t="s">
        <v>19</v>
      </c>
      <c r="I35" s="6" t="s">
        <v>96</v>
      </c>
    </row>
    <row r="37" customFormat="false" ht="15" hidden="false" customHeight="false" outlineLevel="0" collapsed="false">
      <c r="A37" s="9" t="s">
        <v>97</v>
      </c>
      <c r="B37" s="9"/>
      <c r="C37" s="9"/>
      <c r="D37" s="9"/>
      <c r="E37" s="9"/>
      <c r="F37" s="9"/>
      <c r="G37" s="10" t="n">
        <f aca="false">SUM(G6:G35)</f>
        <v>98.19</v>
      </c>
      <c r="H37" s="11"/>
      <c r="I37" s="11"/>
    </row>
    <row r="38" customFormat="false" ht="15" hidden="false" customHeight="false" outlineLevel="0" collapsed="false">
      <c r="A38" s="12" t="s">
        <v>98</v>
      </c>
      <c r="B38" s="12"/>
      <c r="C38" s="12"/>
      <c r="D38" s="12"/>
      <c r="E38" s="12"/>
      <c r="F38" s="12"/>
      <c r="G38" s="7" t="n">
        <v>10</v>
      </c>
      <c r="H38" s="11"/>
      <c r="I38" s="11"/>
    </row>
    <row r="39" customFormat="false" ht="15" hidden="false" customHeight="false" outlineLevel="0" collapsed="false">
      <c r="A39" s="12" t="s">
        <v>99</v>
      </c>
      <c r="B39" s="12"/>
      <c r="C39" s="12"/>
      <c r="D39" s="12"/>
      <c r="E39" s="12"/>
      <c r="F39" s="12"/>
      <c r="G39" s="8" t="n">
        <f aca="false">G37*0.13</f>
        <v>12.7647</v>
      </c>
      <c r="H39" s="11"/>
      <c r="I39" s="11"/>
    </row>
    <row r="40" customFormat="false" ht="15" hidden="false" customHeight="false" outlineLevel="0" collapsed="false">
      <c r="A40" s="13" t="s">
        <v>100</v>
      </c>
      <c r="B40" s="13"/>
      <c r="C40" s="13"/>
      <c r="D40" s="13"/>
      <c r="E40" s="13"/>
      <c r="F40" s="13"/>
      <c r="G40" s="14" t="n">
        <f aca="false">G37+G38+G39</f>
        <v>120.9547</v>
      </c>
      <c r="H40" s="15"/>
      <c r="I40" s="15"/>
    </row>
    <row r="43" customFormat="false" ht="15" hidden="false" customHeight="false" outlineLevel="0" collapsed="false">
      <c r="A43" s="16" t="s">
        <v>101</v>
      </c>
      <c r="B43" s="16"/>
      <c r="C43" s="16"/>
      <c r="D43" s="16"/>
      <c r="E43" s="16"/>
      <c r="F43" s="16"/>
      <c r="G43" s="16"/>
      <c r="H43" s="16"/>
      <c r="I43" s="16"/>
    </row>
    <row r="44" customFormat="false" ht="15" hidden="false" customHeight="false" outlineLevel="0" collapsed="false">
      <c r="A44" s="17" t="s">
        <v>102</v>
      </c>
      <c r="B44" s="17"/>
      <c r="C44" s="17"/>
      <c r="D44" s="17"/>
      <c r="E44" s="17"/>
      <c r="F44" s="17"/>
      <c r="G44" s="17"/>
      <c r="H44" s="17"/>
      <c r="I44" s="17"/>
    </row>
    <row r="45" customFormat="false" ht="15" hidden="false" customHeight="false" outlineLevel="0" collapsed="false">
      <c r="A45" s="17" t="s">
        <v>103</v>
      </c>
      <c r="B45" s="17"/>
      <c r="C45" s="17"/>
      <c r="D45" s="17"/>
      <c r="E45" s="17"/>
      <c r="F45" s="17"/>
      <c r="G45" s="17"/>
      <c r="H45" s="17"/>
      <c r="I45" s="17"/>
    </row>
    <row r="46" customFormat="false" ht="15" hidden="false" customHeight="false" outlineLevel="0" collapsed="false">
      <c r="A46" s="17" t="s">
        <v>104</v>
      </c>
      <c r="B46" s="17"/>
      <c r="C46" s="17"/>
      <c r="D46" s="17"/>
      <c r="E46" s="17"/>
      <c r="F46" s="17"/>
      <c r="G46" s="17"/>
      <c r="H46" s="17"/>
      <c r="I46" s="17"/>
    </row>
    <row r="47" customFormat="false" ht="15" hidden="false" customHeight="false" outlineLevel="0" collapsed="false">
      <c r="A47" s="17" t="s">
        <v>105</v>
      </c>
      <c r="B47" s="17"/>
      <c r="C47" s="17"/>
      <c r="D47" s="17"/>
      <c r="E47" s="17"/>
      <c r="F47" s="17"/>
      <c r="G47" s="17"/>
      <c r="H47" s="17"/>
      <c r="I47" s="17"/>
    </row>
    <row r="48" customFormat="false" ht="15" hidden="false" customHeight="false" outlineLevel="0" collapsed="false">
      <c r="A48" s="17" t="s">
        <v>106</v>
      </c>
      <c r="B48" s="17"/>
      <c r="C48" s="17"/>
      <c r="D48" s="17"/>
      <c r="E48" s="17"/>
      <c r="F48" s="17"/>
      <c r="G48" s="17"/>
      <c r="H48" s="17"/>
      <c r="I48" s="17"/>
    </row>
    <row r="49" customFormat="false" ht="15" hidden="false" customHeight="false" outlineLevel="0" collapsed="false">
      <c r="A49" s="17" t="s">
        <v>107</v>
      </c>
      <c r="B49" s="17"/>
      <c r="C49" s="17"/>
      <c r="D49" s="17"/>
      <c r="E49" s="17"/>
      <c r="F49" s="17"/>
      <c r="G49" s="17"/>
      <c r="H49" s="17"/>
      <c r="I49" s="17"/>
    </row>
    <row r="50" customFormat="false" ht="15" hidden="false" customHeight="false" outlineLevel="0" collapsed="false">
      <c r="A50" s="17" t="s">
        <v>108</v>
      </c>
      <c r="B50" s="17"/>
      <c r="C50" s="17"/>
      <c r="D50" s="17"/>
      <c r="E50" s="17"/>
      <c r="F50" s="17"/>
      <c r="G50" s="17"/>
      <c r="H50" s="17"/>
      <c r="I50" s="17"/>
    </row>
  </sheetData>
  <mergeCells count="21">
    <mergeCell ref="A1:I1"/>
    <mergeCell ref="A2:I2"/>
    <mergeCell ref="A5:I5"/>
    <mergeCell ref="A8:I8"/>
    <mergeCell ref="A11:I11"/>
    <mergeCell ref="A14:I14"/>
    <mergeCell ref="A19:I19"/>
    <mergeCell ref="A24:I24"/>
    <mergeCell ref="A30:I30"/>
    <mergeCell ref="A37:F37"/>
    <mergeCell ref="A38:F38"/>
    <mergeCell ref="A39:F39"/>
    <mergeCell ref="A40:F40"/>
    <mergeCell ref="A43:I43"/>
    <mergeCell ref="A44:I44"/>
    <mergeCell ref="A45:I45"/>
    <mergeCell ref="A46:I46"/>
    <mergeCell ref="A47:I47"/>
    <mergeCell ref="A48:I48"/>
    <mergeCell ref="A49:I49"/>
    <mergeCell ref="A50:I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7.35" hidden="false" customHeight="false" outlineLevel="0" collapsed="false">
      <c r="A1" s="18" t="s">
        <v>109</v>
      </c>
      <c r="B1" s="18"/>
      <c r="C1" s="18"/>
    </row>
    <row r="3" customFormat="false" ht="15" hidden="false" customHeight="false" outlineLevel="0" collapsed="false">
      <c r="A3" s="3" t="s">
        <v>3</v>
      </c>
      <c r="B3" s="3" t="s">
        <v>110</v>
      </c>
      <c r="C3" s="3" t="s">
        <v>111</v>
      </c>
    </row>
    <row r="4" customFormat="false" ht="15" hidden="false" customHeight="false" outlineLevel="0" collapsed="false">
      <c r="A4" s="11" t="s">
        <v>112</v>
      </c>
      <c r="B4" s="5" t="n">
        <v>2</v>
      </c>
      <c r="C4" s="8" t="n">
        <f aca="false">'Bill of Materials'!G6+'Bill of Materials'!G7</f>
        <v>16.98</v>
      </c>
    </row>
    <row r="5" customFormat="false" ht="15" hidden="false" customHeight="false" outlineLevel="0" collapsed="false">
      <c r="A5" s="11" t="s">
        <v>113</v>
      </c>
      <c r="B5" s="5" t="n">
        <v>2</v>
      </c>
      <c r="C5" s="8" t="n">
        <f aca="false">'Bill of Materials'!G9+'Bill of Materials'!G10</f>
        <v>9.19</v>
      </c>
    </row>
    <row r="6" customFormat="false" ht="15" hidden="false" customHeight="false" outlineLevel="0" collapsed="false">
      <c r="A6" s="11" t="s">
        <v>114</v>
      </c>
      <c r="B6" s="5" t="n">
        <v>2</v>
      </c>
      <c r="C6" s="8" t="n">
        <f aca="false">'Bill of Materials'!G12+'Bill of Materials'!G13</f>
        <v>10.79</v>
      </c>
    </row>
    <row r="7" customFormat="false" ht="15" hidden="false" customHeight="false" outlineLevel="0" collapsed="false">
      <c r="A7" s="11" t="s">
        <v>115</v>
      </c>
      <c r="B7" s="5" t="n">
        <v>4</v>
      </c>
      <c r="C7" s="8" t="n">
        <f aca="false">'Bill of Materials'!G15+'Bill of Materials'!G16+'Bill of Materials'!G17+'Bill of Materials'!G18</f>
        <v>10.34</v>
      </c>
    </row>
    <row r="8" customFormat="false" ht="15" hidden="false" customHeight="false" outlineLevel="0" collapsed="false">
      <c r="A8" s="11" t="s">
        <v>116</v>
      </c>
      <c r="B8" s="5" t="n">
        <v>4</v>
      </c>
      <c r="C8" s="8" t="n">
        <f aca="false">'Bill of Materials'!G20+'Bill of Materials'!G21+'Bill of Materials'!G22+'Bill of Materials'!G23</f>
        <v>1.7</v>
      </c>
    </row>
    <row r="9" customFormat="false" ht="15" hidden="false" customHeight="false" outlineLevel="0" collapsed="false">
      <c r="A9" s="11" t="s">
        <v>117</v>
      </c>
      <c r="B9" s="5" t="n">
        <v>5</v>
      </c>
      <c r="C9" s="8" t="n">
        <f aca="false">'Bill of Materials'!G25+'Bill of Materials'!G26+'Bill of Materials'!G27+'Bill of Materials'!G28+'Bill of Materials'!G29</f>
        <v>19.24</v>
      </c>
    </row>
    <row r="10" customFormat="false" ht="15" hidden="false" customHeight="false" outlineLevel="0" collapsed="false">
      <c r="A10" s="11" t="s">
        <v>118</v>
      </c>
      <c r="B10" s="5" t="n">
        <v>5</v>
      </c>
      <c r="C10" s="8" t="n">
        <f aca="false">'Bill of Materials'!G31+'Bill of Materials'!G32+'Bill of Materials'!G33+'Bill of Materials'!G34+'Bill of Materials'!G35</f>
        <v>29.95</v>
      </c>
    </row>
    <row r="11" customFormat="false" ht="15" hidden="false" customHeight="false" outlineLevel="0" collapsed="false">
      <c r="A11" s="19" t="s">
        <v>119</v>
      </c>
      <c r="B11" s="20" t="n">
        <f aca="false">SUM(B4:B10)</f>
        <v>24</v>
      </c>
      <c r="C11" s="21" t="n">
        <f aca="false">SUM(C4:C10)</f>
        <v>98.19</v>
      </c>
    </row>
    <row r="14" customFormat="false" ht="15" hidden="false" customHeight="false" outlineLevel="0" collapsed="false">
      <c r="A14" s="22" t="s">
        <v>120</v>
      </c>
    </row>
    <row r="15" customFormat="false" ht="15" hidden="false" customHeight="false" outlineLevel="0" collapsed="false">
      <c r="A15" s="22" t="s">
        <v>121</v>
      </c>
    </row>
    <row r="16" customFormat="false" ht="15" hidden="false" customHeight="false" outlineLevel="0" collapsed="false">
      <c r="A16" s="22" t="s">
        <v>122</v>
      </c>
    </row>
    <row r="17" customFormat="false" ht="15" hidden="false" customHeight="false" outlineLevel="0" collapsed="false">
      <c r="A17" s="22" t="s">
        <v>123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2025-12-12T22:10:34Z</dcterms:created>
  <dc:creator>openpyxl</dc:creator>
  <dc:description/>
  <dc:language>en-US</dc:language>
  <cp:lastModifiedBy/>
  <dcterms:modified xsi:type="dcterms:W3CDTF">2025-12-12T22:10:34Z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